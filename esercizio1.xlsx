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oren\Documents\"/>
    </mc:Choice>
  </mc:AlternateContent>
  <xr:revisionPtr revIDLastSave="0" documentId="8_{59A1E090-6600-432B-AAAB-A4D6DBE5CCB2}" xr6:coauthVersionLast="47" xr6:coauthVersionMax="47" xr10:uidLastSave="{00000000-0000-0000-0000-000000000000}"/>
  <bookViews>
    <workbookView xWindow="19500" yWindow="1515" windowWidth="18900" windowHeight="19185" xr2:uid="{E621BD97-D5F1-431D-9C55-0E8DCE4F88DB}"/>
  </bookViews>
  <sheets>
    <sheet name="Foglio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M12" i="2" l="1"/>
  <c r="J12" i="2"/>
  <c r="G12" i="2"/>
  <c r="C77" i="2"/>
  <c r="B75" i="2"/>
  <c r="C71" i="2"/>
  <c r="C70" i="2"/>
  <c r="D66" i="2"/>
  <c r="D65" i="2"/>
  <c r="D64" i="2"/>
  <c r="E59" i="2"/>
  <c r="E58" i="2"/>
  <c r="D48" i="2"/>
  <c r="D46" i="2"/>
  <c r="D44" i="2"/>
  <c r="E11" i="2"/>
  <c r="E10" i="2"/>
  <c r="E7" i="2"/>
  <c r="E6" i="2"/>
  <c r="E5" i="2"/>
</calcChain>
</file>

<file path=xl/sharedStrings.xml><?xml version="1.0" encoding="utf-8"?>
<sst xmlns="http://schemas.openxmlformats.org/spreadsheetml/2006/main" count="45" uniqueCount="41">
  <si>
    <t>media</t>
  </si>
  <si>
    <t>mediana</t>
  </si>
  <si>
    <t>DATASET: VOTI DI 12 STUDENTI</t>
  </si>
  <si>
    <t>ES 1:</t>
  </si>
  <si>
    <t>MODA</t>
  </si>
  <si>
    <t>MEDIA</t>
  </si>
  <si>
    <t>MEDIANA</t>
  </si>
  <si>
    <t>ES 2:</t>
  </si>
  <si>
    <t>Varianza</t>
  </si>
  <si>
    <t>dev. Stand</t>
  </si>
  <si>
    <t>IQR</t>
  </si>
  <si>
    <t>ES 3:</t>
  </si>
  <si>
    <t>classe</t>
  </si>
  <si>
    <t>18-21</t>
  </si>
  <si>
    <t>22-25</t>
  </si>
  <si>
    <t>26-30</t>
  </si>
  <si>
    <t>frequenza</t>
  </si>
  <si>
    <t>CLASSE MODALE: 26-30</t>
  </si>
  <si>
    <t>ES 4</t>
  </si>
  <si>
    <t>APPLICA REGOLA DELL IQR E INDICA SE CI SONO OUTLIER</t>
  </si>
  <si>
    <t>q1</t>
  </si>
  <si>
    <t>iqr</t>
  </si>
  <si>
    <t>q3</t>
  </si>
  <si>
    <t>(q3-q1)</t>
  </si>
  <si>
    <t>Outlier sono tutti i valori sopra 29,25 e sotto 25 quindi sono: 18, 22, 30, 30 e 30</t>
  </si>
  <si>
    <t>es5</t>
  </si>
  <si>
    <t>quale cambia di piu è perche?</t>
  </si>
  <si>
    <t>cambia di piu la media perche il 95 tende a aumentare di gran lunga la media</t>
  </si>
  <si>
    <t>la mediana resta uguale perché il numero piu spesso presente rimane il 28</t>
  </si>
  <si>
    <t>es 6</t>
  </si>
  <si>
    <t>calcola i limiti di tukey (q1 meno 1,5 x iqr e q3 + 1,5 x iqr) indivuda gli outlier e confronta la deviazione standard con e senza outlier</t>
  </si>
  <si>
    <t>limiti di turkey</t>
  </si>
  <si>
    <t>lim. Infer.</t>
  </si>
  <si>
    <t>lim. Sup.</t>
  </si>
  <si>
    <t>outlier=  95.</t>
  </si>
  <si>
    <r>
      <t xml:space="preserve">Confronta la deviazione standard </t>
    </r>
    <r>
      <rPr>
        <b/>
        <sz val="11"/>
        <color theme="1"/>
        <rFont val="Aptos Narrow"/>
        <family val="2"/>
        <scheme val="minor"/>
      </rPr>
      <t>con</t>
    </r>
    <r>
      <rPr>
        <sz val="11"/>
        <color theme="1"/>
        <rFont val="Aptos Narrow"/>
        <family val="2"/>
        <scheme val="minor"/>
      </rPr>
      <t xml:space="preserve"> e </t>
    </r>
    <r>
      <rPr>
        <b/>
        <sz val="11"/>
        <color theme="1"/>
        <rFont val="Aptos Narrow"/>
        <family val="2"/>
        <scheme val="minor"/>
      </rPr>
      <t>senza outlier</t>
    </r>
  </si>
  <si>
    <t>dev. S senza outlier</t>
  </si>
  <si>
    <t>Q3-Q1</t>
  </si>
  <si>
    <t>Q3=</t>
  </si>
  <si>
    <t>Q1=</t>
  </si>
  <si>
    <t>iqr=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</si>
</sst>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0" fillId="0" borderId="0" xfId="0" applyAlignment="1">
      <alignment horizontal="right"/>
    </xf>
    <xf numFmtId="0" fontId="0" fillId="3" borderId="0" xfId="0" applyFill="1"/>
    <xf numFmtId="0" fontId="0" fillId="4" borderId="0" xfId="0" applyFill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/>
              <a:t>VOTI DEI 12 STUDENTI</a:t>
            </a:r>
          </a:p>
        </c:rich>
      </c:tx>
      <c:layout>
        <c:manualLayout>
          <c:xMode val="edge"/>
          <c:yMode val="edge"/>
          <c:x val="0.3287082239720035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Foglio2!$E$16</c:f>
              <c:strCache>
                <c:ptCount val="1"/>
                <c:pt idx="0">
                  <c:v>frequenza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Foglio2!$D$17:$D$19</c:f>
              <c:strCache>
                <c:ptCount val="3"/>
                <c:pt idx="0">
                  <c:v>18-21</c:v>
                </c:pt>
                <c:pt idx="1">
                  <c:v>22-25</c:v>
                </c:pt>
                <c:pt idx="2">
                  <c:v>26-30</c:v>
                </c:pt>
              </c:strCache>
            </c:strRef>
          </c:cat>
          <c:val>
            <c:numRef>
              <c:f>Foglio2!$E$17:$E$19</c:f>
              <c:numCache>
                <c:formatCode>General</c:formatCode>
                <c:ptCount val="3"/>
                <c:pt idx="0">
                  <c:v>21</c:v>
                </c:pt>
                <c:pt idx="1">
                  <c:v>25</c:v>
                </c:pt>
                <c:pt idx="2">
                  <c:v>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093-4449-9E9F-3F2E995E84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46300448"/>
        <c:axId val="353966800"/>
      </c:barChart>
      <c:catAx>
        <c:axId val="5463004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353966800"/>
        <c:crosses val="autoZero"/>
        <c:auto val="1"/>
        <c:lblAlgn val="ctr"/>
        <c:lblOffset val="100"/>
        <c:noMultiLvlLbl val="0"/>
      </c:catAx>
      <c:valAx>
        <c:axId val="353966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5463004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314325</xdr:colOff>
      <xdr:row>20</xdr:row>
      <xdr:rowOff>157162</xdr:rowOff>
    </xdr:from>
    <xdr:to>
      <xdr:col>6</xdr:col>
      <xdr:colOff>247650</xdr:colOff>
      <xdr:row>35</xdr:row>
      <xdr:rowOff>42862</xdr:rowOff>
    </xdr:to>
    <xdr:graphicFrame macro="">
      <xdr:nvGraphicFramePr>
        <xdr:cNvPr id="3" name="Grafico 2">
          <a:extLst>
            <a:ext uri="{FF2B5EF4-FFF2-40B4-BE49-F238E27FC236}">
              <a16:creationId xmlns:a16="http://schemas.microsoft.com/office/drawing/2014/main" id="{D5F21120-0611-8C36-9A02-54B09C75A60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25AA471-495E-4E63-844B-2700AE5578E9}" name="Tabella4" displayName="Tabella4" ref="D16:E19" totalsRowShown="0">
  <autoFilter ref="D16:E19" xr:uid="{125AA471-495E-4E63-844B-2700AE5578E9}"/>
  <tableColumns count="2">
    <tableColumn id="1" xr3:uid="{B587DF81-79ED-40A1-BFD0-C5498860AB15}" name="classe"/>
    <tableColumn id="2" xr3:uid="{21A916AD-7263-4980-90C3-691F411B5127}" name="frequenz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786E29-4ED2-4E39-A46E-9CF1AE4213EE}">
  <dimension ref="A1:N77"/>
  <sheetViews>
    <sheetView tabSelected="1" topLeftCell="A43" workbookViewId="0">
      <selection activeCell="I78" sqref="I78"/>
    </sheetView>
  </sheetViews>
  <sheetFormatPr defaultRowHeight="15" x14ac:dyDescent="0.25"/>
  <cols>
    <col min="1" max="1" width="12.28515625" customWidth="1"/>
    <col min="4" max="4" width="16.140625" customWidth="1"/>
    <col min="5" max="5" width="16.85546875" customWidth="1"/>
  </cols>
  <sheetData>
    <row r="1" spans="1:13" x14ac:dyDescent="0.25">
      <c r="A1" t="s">
        <v>2</v>
      </c>
    </row>
    <row r="3" spans="1:13" x14ac:dyDescent="0.25">
      <c r="A3">
        <v>18</v>
      </c>
    </row>
    <row r="4" spans="1:13" x14ac:dyDescent="0.25">
      <c r="A4">
        <v>22</v>
      </c>
      <c r="D4" s="1" t="s">
        <v>3</v>
      </c>
    </row>
    <row r="5" spans="1:13" x14ac:dyDescent="0.25">
      <c r="A5">
        <v>25</v>
      </c>
      <c r="D5" s="4" t="s">
        <v>4</v>
      </c>
      <c r="E5" s="4">
        <f>MODE(A3:A14)</f>
        <v>28</v>
      </c>
    </row>
    <row r="6" spans="1:13" x14ac:dyDescent="0.25">
      <c r="A6">
        <v>25</v>
      </c>
      <c r="D6" s="4" t="s">
        <v>5</v>
      </c>
      <c r="E6" s="4">
        <f>AVERAGE(A3:A14)</f>
        <v>26.666666666666668</v>
      </c>
    </row>
    <row r="7" spans="1:13" x14ac:dyDescent="0.25">
      <c r="A7">
        <v>27</v>
      </c>
      <c r="D7" s="4" t="s">
        <v>6</v>
      </c>
      <c r="E7" s="4">
        <f>MEDIAN(A3:A14)</f>
        <v>28</v>
      </c>
    </row>
    <row r="8" spans="1:13" x14ac:dyDescent="0.25">
      <c r="A8">
        <v>28</v>
      </c>
    </row>
    <row r="9" spans="1:13" x14ac:dyDescent="0.25">
      <c r="A9">
        <v>28</v>
      </c>
      <c r="D9" s="1" t="s">
        <v>7</v>
      </c>
    </row>
    <row r="10" spans="1:13" x14ac:dyDescent="0.25">
      <c r="A10">
        <v>28</v>
      </c>
      <c r="D10" t="s">
        <v>8</v>
      </c>
      <c r="E10" s="4">
        <f>_xlfn.VAR.P(A3:A14)</f>
        <v>12.222222222222221</v>
      </c>
    </row>
    <row r="11" spans="1:13" x14ac:dyDescent="0.25">
      <c r="A11">
        <v>29</v>
      </c>
      <c r="D11" t="s">
        <v>9</v>
      </c>
      <c r="E11" s="4">
        <f>_xlfn.STDEV.P(A3:A14)</f>
        <v>3.496029493900505</v>
      </c>
    </row>
    <row r="12" spans="1:13" x14ac:dyDescent="0.25">
      <c r="A12">
        <v>30</v>
      </c>
      <c r="D12" s="3" t="s">
        <v>10</v>
      </c>
      <c r="E12" s="3" t="s">
        <v>37</v>
      </c>
      <c r="F12" t="s">
        <v>38</v>
      </c>
      <c r="G12">
        <f>_xlfn.QUARTILE.INC(A3:A14, 3)</f>
        <v>29.25</v>
      </c>
      <c r="I12" t="s">
        <v>39</v>
      </c>
      <c r="J12">
        <f>_xlfn.QUARTILE.INC(A3:A14, 1)</f>
        <v>25</v>
      </c>
      <c r="L12" s="4" t="s">
        <v>40</v>
      </c>
      <c r="M12" s="4">
        <f>G12-J12</f>
        <v>4.25</v>
      </c>
    </row>
    <row r="13" spans="1:13" x14ac:dyDescent="0.25">
      <c r="A13">
        <v>30</v>
      </c>
    </row>
    <row r="14" spans="1:13" x14ac:dyDescent="0.25">
      <c r="A14">
        <v>30</v>
      </c>
      <c r="D14" s="1" t="s">
        <v>11</v>
      </c>
    </row>
    <row r="16" spans="1:13" x14ac:dyDescent="0.25">
      <c r="D16" t="s">
        <v>12</v>
      </c>
      <c r="E16" t="s">
        <v>16</v>
      </c>
    </row>
    <row r="17" spans="4:5" x14ac:dyDescent="0.25">
      <c r="D17" t="s">
        <v>13</v>
      </c>
      <c r="E17">
        <v>21</v>
      </c>
    </row>
    <row r="18" spans="4:5" x14ac:dyDescent="0.25">
      <c r="D18" t="s">
        <v>14</v>
      </c>
      <c r="E18">
        <v>25</v>
      </c>
    </row>
    <row r="19" spans="4:5" x14ac:dyDescent="0.25">
      <c r="D19" t="s">
        <v>15</v>
      </c>
      <c r="E19">
        <v>30</v>
      </c>
    </row>
    <row r="37" spans="3:5" x14ac:dyDescent="0.25">
      <c r="D37" s="4" t="s">
        <v>17</v>
      </c>
      <c r="E37" s="4"/>
    </row>
    <row r="40" spans="3:5" x14ac:dyDescent="0.25">
      <c r="D40" s="1" t="s">
        <v>18</v>
      </c>
    </row>
    <row r="42" spans="3:5" x14ac:dyDescent="0.25">
      <c r="D42" t="s">
        <v>19</v>
      </c>
    </row>
    <row r="44" spans="3:5" x14ac:dyDescent="0.25">
      <c r="C44" t="s">
        <v>20</v>
      </c>
      <c r="D44">
        <f>_xlfn.QUARTILE.INC(A3:A14, 1)</f>
        <v>25</v>
      </c>
    </row>
    <row r="46" spans="3:5" x14ac:dyDescent="0.25">
      <c r="C46" t="s">
        <v>22</v>
      </c>
      <c r="D46">
        <f>_xlfn.QUARTILE.INC(A3:A14, 3)</f>
        <v>29.25</v>
      </c>
    </row>
    <row r="48" spans="3:5" x14ac:dyDescent="0.25">
      <c r="C48" t="s">
        <v>21</v>
      </c>
      <c r="D48">
        <f>D46-D44</f>
        <v>4.25</v>
      </c>
      <c r="E48" s="2" t="s">
        <v>23</v>
      </c>
    </row>
    <row r="50" spans="1:14" x14ac:dyDescent="0.25">
      <c r="D50" s="4" t="s">
        <v>24</v>
      </c>
      <c r="E50" s="4"/>
      <c r="F50" s="4"/>
      <c r="G50" s="4"/>
      <c r="H50" s="4"/>
      <c r="I50" s="4"/>
    </row>
    <row r="53" spans="1:14" x14ac:dyDescent="0.25">
      <c r="D53" s="1" t="s">
        <v>25</v>
      </c>
    </row>
    <row r="55" spans="1:14" x14ac:dyDescent="0.25">
      <c r="A55">
        <v>18</v>
      </c>
    </row>
    <row r="56" spans="1:14" x14ac:dyDescent="0.25">
      <c r="A56">
        <v>22</v>
      </c>
      <c r="G56" t="s">
        <v>26</v>
      </c>
    </row>
    <row r="57" spans="1:14" x14ac:dyDescent="0.25">
      <c r="A57">
        <v>25</v>
      </c>
      <c r="G57" s="4" t="s">
        <v>27</v>
      </c>
      <c r="H57" s="4"/>
      <c r="I57" s="4"/>
      <c r="J57" s="4"/>
      <c r="K57" s="4"/>
      <c r="L57" s="4"/>
      <c r="M57" s="4"/>
      <c r="N57" s="4"/>
    </row>
    <row r="58" spans="1:14" x14ac:dyDescent="0.25">
      <c r="A58">
        <v>25</v>
      </c>
      <c r="D58" t="s">
        <v>0</v>
      </c>
      <c r="E58" s="4">
        <f>AVERAGE(A55:A67)</f>
        <v>31.923076923076923</v>
      </c>
      <c r="G58" s="4" t="s">
        <v>28</v>
      </c>
      <c r="H58" s="4"/>
      <c r="I58" s="4"/>
      <c r="J58" s="4"/>
      <c r="K58" s="4"/>
      <c r="L58" s="4"/>
      <c r="M58" s="4"/>
      <c r="N58" s="4"/>
    </row>
    <row r="59" spans="1:14" x14ac:dyDescent="0.25">
      <c r="A59">
        <v>27</v>
      </c>
      <c r="D59" t="s">
        <v>1</v>
      </c>
      <c r="E59" s="4">
        <f>MEDIAN(A55:A67)</f>
        <v>28</v>
      </c>
    </row>
    <row r="60" spans="1:14" x14ac:dyDescent="0.25">
      <c r="A60">
        <v>28</v>
      </c>
    </row>
    <row r="61" spans="1:14" x14ac:dyDescent="0.25">
      <c r="A61">
        <v>28</v>
      </c>
    </row>
    <row r="62" spans="1:14" x14ac:dyDescent="0.25">
      <c r="A62">
        <v>28</v>
      </c>
      <c r="D62" s="1" t="s">
        <v>29</v>
      </c>
      <c r="E62" t="s">
        <v>30</v>
      </c>
    </row>
    <row r="63" spans="1:14" x14ac:dyDescent="0.25">
      <c r="A63">
        <v>29</v>
      </c>
    </row>
    <row r="64" spans="1:14" x14ac:dyDescent="0.25">
      <c r="A64">
        <v>30</v>
      </c>
      <c r="C64" t="s">
        <v>20</v>
      </c>
      <c r="D64">
        <f>_xlfn.QUARTILE.INC(A55:A67, 1)</f>
        <v>25</v>
      </c>
    </row>
    <row r="65" spans="1:5" x14ac:dyDescent="0.25">
      <c r="A65">
        <v>30</v>
      </c>
      <c r="C65" t="s">
        <v>22</v>
      </c>
      <c r="D65">
        <f>_xlfn.QUARTILE.INC(A55:A67, 3)</f>
        <v>30</v>
      </c>
    </row>
    <row r="66" spans="1:5" x14ac:dyDescent="0.25">
      <c r="A66">
        <v>30</v>
      </c>
      <c r="C66" t="s">
        <v>21</v>
      </c>
      <c r="D66">
        <f>D65-D64</f>
        <v>5</v>
      </c>
    </row>
    <row r="67" spans="1:5" x14ac:dyDescent="0.25">
      <c r="A67">
        <v>95</v>
      </c>
    </row>
    <row r="68" spans="1:5" x14ac:dyDescent="0.25">
      <c r="C68" t="s">
        <v>31</v>
      </c>
    </row>
    <row r="70" spans="1:5" x14ac:dyDescent="0.25">
      <c r="B70" t="s">
        <v>32</v>
      </c>
      <c r="C70" s="4">
        <f>D64-1.5*D66</f>
        <v>17.5</v>
      </c>
    </row>
    <row r="71" spans="1:5" x14ac:dyDescent="0.25">
      <c r="B71" t="s">
        <v>33</v>
      </c>
      <c r="C71" s="4">
        <f>D65+1.5*D66</f>
        <v>37.5</v>
      </c>
      <c r="E71" s="4" t="s">
        <v>34</v>
      </c>
    </row>
    <row r="73" spans="1:5" x14ac:dyDescent="0.25">
      <c r="D73" t="s">
        <v>35</v>
      </c>
    </row>
    <row r="75" spans="1:5" x14ac:dyDescent="0.25">
      <c r="A75" t="s">
        <v>9</v>
      </c>
      <c r="B75" s="4">
        <f>STDEV(A55:A67)</f>
        <v>19.272007067512618</v>
      </c>
    </row>
    <row r="77" spans="1:5" x14ac:dyDescent="0.25">
      <c r="A77" t="s">
        <v>36</v>
      </c>
      <c r="C77" s="4">
        <f>STDEV(A55:A66)</f>
        <v>3.6514837167011001</v>
      </c>
    </row>
  </sheetData>
  <phoneticPr fontId="2" type="noConversion"/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LORENZO PES</dc:creator>
  <cp:lastModifiedBy>LORENZO PES</cp:lastModifiedBy>
  <dcterms:created xsi:type="dcterms:W3CDTF">2026-06-30T12:56:45Z</dcterms:created>
  <dcterms:modified xsi:type="dcterms:W3CDTF">2026-07-01T09:12:10Z</dcterms:modified>
</cp:coreProperties>
</file>