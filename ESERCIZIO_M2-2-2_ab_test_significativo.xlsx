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oren\Desktop\"/>
    </mc:Choice>
  </mc:AlternateContent>
  <xr:revisionPtr revIDLastSave="0" documentId="8_{B85130B6-71A8-4ADC-A6A0-71AB67ECD1C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B_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19" i="1" s="1"/>
  <c r="E7" i="1"/>
  <c r="E6" i="1"/>
  <c r="E9" i="1"/>
  <c r="E8" i="1"/>
  <c r="E5" i="1"/>
  <c r="E4" i="1"/>
  <c r="E12" i="1" l="1"/>
</calcChain>
</file>

<file path=xl/sharedStrings.xml><?xml version="1.0" encoding="utf-8"?>
<sst xmlns="http://schemas.openxmlformats.org/spreadsheetml/2006/main" count="26" uniqueCount="26">
  <si>
    <t>Esercizio A/B Test - caso significativo</t>
  </si>
  <si>
    <t>Gruppo A - vecchia email</t>
  </si>
  <si>
    <t>Gruppo B - nuova email</t>
  </si>
  <si>
    <t>Calcoli</t>
  </si>
  <si>
    <t>Media A</t>
  </si>
  <si>
    <t>Formula italiana: =MEDIA(A4:A43)</t>
  </si>
  <si>
    <t>Media B</t>
  </si>
  <si>
    <t>Formula italiana: =MEDIA(B4:B43)</t>
  </si>
  <si>
    <t>Dev. std A</t>
  </si>
  <si>
    <t>Dev. std B</t>
  </si>
  <si>
    <t>n A</t>
  </si>
  <si>
    <t>n B</t>
  </si>
  <si>
    <t>Alpha</t>
  </si>
  <si>
    <t>p-value TEST.T</t>
  </si>
  <si>
    <t>Formula italiana: =TEST.T(A4:A43;B4:B43;2;2)</t>
  </si>
  <si>
    <t>Decisione</t>
  </si>
  <si>
    <t>Ipotesi e conclusione</t>
  </si>
  <si>
    <t>H0</t>
  </si>
  <si>
    <t>La nuova email non aumenta gli acquisti rispetto alla vecchia.</t>
  </si>
  <si>
    <t>H1</t>
  </si>
  <si>
    <t>La nuova email aumenta gli acquisti rispetto alla vecchia.</t>
  </si>
  <si>
    <t>Criterio</t>
  </si>
  <si>
    <t>Se p-value ≤ α, rifiutiamo H0.</t>
  </si>
  <si>
    <t>Conclusione guidata</t>
  </si>
  <si>
    <t>Nota didattica</t>
  </si>
  <si>
    <t>La formula usata è a due code, come nella traccia: TEST.T(...;2;2).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</si>
</sst>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2" fillId="3" borderId="0" xfId="1" applyFont="1" applyFill="1" applyAlignment="1">
      <alignment horizontal="center" vertical="center"/>
    </xf>
    <xf numFmtId="1" fontId="0" fillId="0" borderId="0" xfId="1" applyNumberFormat="1" applyFont="1"/>
    <xf numFmtId="0" fontId="3" fillId="0" borderId="0" xfId="1" applyFont="1"/>
    <xf numFmtId="2" fontId="0" fillId="0" borderId="0" xfId="1" applyNumberFormat="1" applyFont="1"/>
    <xf numFmtId="164" fontId="0" fillId="0" borderId="0" xfId="1" applyNumberFormat="1" applyFont="1"/>
    <xf numFmtId="0" fontId="3" fillId="0" borderId="0" xfId="1" applyFont="1" applyAlignment="1">
      <alignment wrapText="1"/>
    </xf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center" vertical="center"/>
    </xf>
    <xf numFmtId="0" fontId="3" fillId="4" borderId="0" xfId="1" applyFont="1" applyFill="1"/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workbookViewId="0">
      <selection activeCell="L29" sqref="L29"/>
    </sheetView>
  </sheetViews>
  <sheetFormatPr defaultRowHeight="14.25"/>
  <cols>
    <col min="1" max="2" width="24" customWidth="1"/>
    <col min="4" max="4" width="22" customWidth="1"/>
    <col min="5" max="5" width="17.75" customWidth="1"/>
    <col min="6" max="6" width="46" customWidth="1"/>
  </cols>
  <sheetData>
    <row r="1" spans="1:8" ht="24" customHeight="1">
      <c r="A1" s="8" t="s">
        <v>0</v>
      </c>
      <c r="B1" s="8"/>
      <c r="C1" s="8"/>
      <c r="D1" s="8"/>
      <c r="E1" s="8"/>
      <c r="F1" s="8"/>
      <c r="G1" s="8"/>
      <c r="H1" s="8"/>
    </row>
    <row r="3" spans="1:8" ht="15">
      <c r="A3" s="1" t="s">
        <v>1</v>
      </c>
      <c r="B3" s="1" t="s">
        <v>2</v>
      </c>
      <c r="D3" s="9" t="s">
        <v>3</v>
      </c>
      <c r="E3" s="9"/>
      <c r="F3" s="9"/>
      <c r="G3" s="9"/>
      <c r="H3" s="9"/>
    </row>
    <row r="4" spans="1:8" ht="15">
      <c r="A4" s="2">
        <v>65</v>
      </c>
      <c r="B4" s="2">
        <v>56</v>
      </c>
      <c r="D4" s="3" t="s">
        <v>4</v>
      </c>
      <c r="E4" s="4">
        <f>AVERAGE(A4:A43)</f>
        <v>46.6</v>
      </c>
      <c r="F4" t="s">
        <v>5</v>
      </c>
    </row>
    <row r="5" spans="1:8" ht="15">
      <c r="A5" s="2">
        <v>24</v>
      </c>
      <c r="B5" s="2">
        <v>60</v>
      </c>
      <c r="D5" s="3" t="s">
        <v>6</v>
      </c>
      <c r="E5" s="4">
        <f>AVERAGE(B4:B43)</f>
        <v>52.7</v>
      </c>
      <c r="F5" t="s">
        <v>7</v>
      </c>
    </row>
    <row r="6" spans="1:8" ht="15">
      <c r="A6" s="2">
        <v>51</v>
      </c>
      <c r="B6" s="2">
        <v>50</v>
      </c>
      <c r="D6" s="3" t="s">
        <v>8</v>
      </c>
      <c r="E6" s="4">
        <f>_xlfn.STDEV.S(A4:A43)</f>
        <v>10.529080608559259</v>
      </c>
    </row>
    <row r="7" spans="1:8" ht="15">
      <c r="A7" s="2">
        <v>42</v>
      </c>
      <c r="B7" s="2">
        <v>44</v>
      </c>
      <c r="D7" s="3" t="s">
        <v>9</v>
      </c>
      <c r="E7" s="4">
        <f>_xlfn.STDEV.S(B4:B43)</f>
        <v>9.089864741878225</v>
      </c>
    </row>
    <row r="8" spans="1:8" ht="15">
      <c r="A8" s="2">
        <v>43</v>
      </c>
      <c r="B8" s="2">
        <v>54</v>
      </c>
      <c r="D8" s="3" t="s">
        <v>10</v>
      </c>
      <c r="E8" s="4">
        <f>COUNT(A4:A43)</f>
        <v>40</v>
      </c>
    </row>
    <row r="9" spans="1:8" ht="15">
      <c r="A9" s="2">
        <v>45</v>
      </c>
      <c r="B9" s="2">
        <v>54</v>
      </c>
      <c r="D9" s="3" t="s">
        <v>11</v>
      </c>
      <c r="E9" s="4">
        <f>COUNT(B4:B43)</f>
        <v>40</v>
      </c>
    </row>
    <row r="10" spans="1:8" ht="15">
      <c r="A10" s="2">
        <v>29</v>
      </c>
      <c r="B10" s="2">
        <v>67</v>
      </c>
      <c r="D10" s="3" t="s">
        <v>12</v>
      </c>
      <c r="E10" s="5">
        <v>0.05</v>
      </c>
    </row>
    <row r="11" spans="1:8" ht="15">
      <c r="A11" s="2">
        <v>45</v>
      </c>
      <c r="B11" s="2">
        <v>61</v>
      </c>
      <c r="D11" s="3" t="s">
        <v>13</v>
      </c>
      <c r="E11" s="5">
        <f>_xlfn.T.TEST(A4:A43,B4:B43,2,2)</f>
        <v>6.9343457041178376E-3</v>
      </c>
      <c r="F11" t="s">
        <v>14</v>
      </c>
    </row>
    <row r="12" spans="1:8" ht="15">
      <c r="A12" s="2">
        <v>39</v>
      </c>
      <c r="B12" s="2">
        <v>56</v>
      </c>
      <c r="D12" s="3" t="s">
        <v>15</v>
      </c>
      <c r="E12" t="str">
        <f>IF(E11&lt;=E10,"Rifiuta H0","Non rifiutare H0")</f>
        <v>Rifiuta H0</v>
      </c>
    </row>
    <row r="13" spans="1:8">
      <c r="A13" s="2">
        <v>77</v>
      </c>
      <c r="B13" s="2">
        <v>64</v>
      </c>
    </row>
    <row r="14" spans="1:8">
      <c r="A14" s="2">
        <v>49</v>
      </c>
      <c r="B14" s="2">
        <v>52</v>
      </c>
    </row>
    <row r="15" spans="1:8" ht="15">
      <c r="A15" s="2">
        <v>44</v>
      </c>
      <c r="B15" s="2">
        <v>46</v>
      </c>
      <c r="D15" s="9" t="s">
        <v>16</v>
      </c>
      <c r="E15" s="9"/>
      <c r="F15" s="9"/>
      <c r="G15" s="9"/>
      <c r="H15" s="9"/>
    </row>
    <row r="16" spans="1:8" ht="43.5">
      <c r="A16" s="2">
        <v>44</v>
      </c>
      <c r="B16" s="2">
        <v>59</v>
      </c>
      <c r="D16" s="6" t="s">
        <v>17</v>
      </c>
      <c r="E16" s="7" t="s">
        <v>18</v>
      </c>
      <c r="F16" s="7"/>
      <c r="G16" s="7"/>
      <c r="H16" s="7"/>
    </row>
    <row r="17" spans="1:8" ht="43.5">
      <c r="A17" s="2">
        <v>41</v>
      </c>
      <c r="B17" s="2">
        <v>59</v>
      </c>
      <c r="D17" s="6" t="s">
        <v>19</v>
      </c>
      <c r="E17" s="7" t="s">
        <v>20</v>
      </c>
      <c r="F17" s="7"/>
      <c r="G17" s="7"/>
      <c r="H17" s="7"/>
    </row>
    <row r="18" spans="1:8" ht="29.25">
      <c r="A18" s="2">
        <v>38</v>
      </c>
      <c r="B18" s="2">
        <v>52</v>
      </c>
      <c r="D18" s="6" t="s">
        <v>21</v>
      </c>
      <c r="E18" s="7" t="s">
        <v>22</v>
      </c>
      <c r="F18" s="7"/>
      <c r="G18" s="7"/>
      <c r="H18" s="7"/>
    </row>
    <row r="19" spans="1:8" ht="43.5">
      <c r="A19" s="2">
        <v>43</v>
      </c>
      <c r="B19" s="2">
        <v>47</v>
      </c>
      <c r="D19" s="6" t="s">
        <v>23</v>
      </c>
      <c r="E19" s="7" t="str">
        <f>IF(E11&lt;=E10,"Il risultato è statisticamente significativo al 5%.","Il risultato non è statisticamente significativo al 5%.")</f>
        <v>Il risultato è statisticamente significativo al 5%.</v>
      </c>
      <c r="F19" s="7"/>
      <c r="G19" s="7"/>
      <c r="H19" s="7"/>
    </row>
    <row r="20" spans="1:8" ht="57.75">
      <c r="A20" s="2">
        <v>51</v>
      </c>
      <c r="B20" s="2">
        <v>56</v>
      </c>
      <c r="D20" s="6" t="s">
        <v>24</v>
      </c>
      <c r="E20" s="7" t="s">
        <v>25</v>
      </c>
      <c r="F20" s="7"/>
      <c r="G20" s="7"/>
      <c r="H20" s="7"/>
    </row>
    <row r="21" spans="1:8">
      <c r="A21" s="2">
        <v>45</v>
      </c>
      <c r="B21" s="2">
        <v>32</v>
      </c>
    </row>
    <row r="22" spans="1:8">
      <c r="A22" s="2">
        <v>56</v>
      </c>
      <c r="B22" s="2">
        <v>60</v>
      </c>
    </row>
    <row r="23" spans="1:8">
      <c r="A23" s="2">
        <v>45</v>
      </c>
      <c r="B23" s="2">
        <v>58</v>
      </c>
    </row>
    <row r="24" spans="1:8">
      <c r="A24" s="2">
        <v>47</v>
      </c>
      <c r="B24" s="2">
        <v>39</v>
      </c>
    </row>
    <row r="25" spans="1:8">
      <c r="A25" s="2">
        <v>61</v>
      </c>
      <c r="B25" s="2">
        <v>55</v>
      </c>
    </row>
    <row r="26" spans="1:8">
      <c r="A26" s="2">
        <v>52</v>
      </c>
      <c r="B26" s="2">
        <v>45</v>
      </c>
    </row>
    <row r="27" spans="1:8">
      <c r="A27" s="2">
        <v>42</v>
      </c>
      <c r="B27" s="2">
        <v>61</v>
      </c>
    </row>
    <row r="28" spans="1:8">
      <c r="A28" s="2">
        <v>45</v>
      </c>
      <c r="B28" s="2">
        <v>36</v>
      </c>
    </row>
    <row r="29" spans="1:8">
      <c r="A29" s="2">
        <v>52</v>
      </c>
      <c r="B29" s="2">
        <v>46</v>
      </c>
    </row>
    <row r="30" spans="1:8">
      <c r="A30" s="2">
        <v>64</v>
      </c>
      <c r="B30" s="2">
        <v>60</v>
      </c>
    </row>
    <row r="31" spans="1:8">
      <c r="A31" s="2">
        <v>45</v>
      </c>
      <c r="B31" s="2">
        <v>64</v>
      </c>
    </row>
    <row r="32" spans="1:8">
      <c r="A32" s="2">
        <v>45</v>
      </c>
      <c r="B32" s="2">
        <v>35</v>
      </c>
    </row>
    <row r="33" spans="1:2">
      <c r="A33" s="2">
        <v>56</v>
      </c>
      <c r="B33" s="2">
        <v>50</v>
      </c>
    </row>
    <row r="34" spans="1:2">
      <c r="A34" s="2">
        <v>39</v>
      </c>
      <c r="B34" s="2">
        <v>57</v>
      </c>
    </row>
    <row r="35" spans="1:2">
      <c r="A35" s="2">
        <v>44</v>
      </c>
      <c r="B35" s="2">
        <v>49</v>
      </c>
    </row>
    <row r="36" spans="1:2">
      <c r="A36" s="2">
        <v>55</v>
      </c>
      <c r="B36" s="2">
        <v>68</v>
      </c>
    </row>
    <row r="37" spans="1:2">
      <c r="A37" s="2">
        <v>52</v>
      </c>
      <c r="B37" s="2">
        <v>43</v>
      </c>
    </row>
    <row r="38" spans="1:2">
      <c r="A38" s="2">
        <v>48</v>
      </c>
      <c r="B38" s="2">
        <v>57</v>
      </c>
    </row>
    <row r="39" spans="1:2">
      <c r="A39" s="2">
        <v>53</v>
      </c>
      <c r="B39" s="2">
        <v>45</v>
      </c>
    </row>
    <row r="40" spans="1:2">
      <c r="A40" s="2">
        <v>22</v>
      </c>
      <c r="B40" s="2">
        <v>67</v>
      </c>
    </row>
    <row r="41" spans="1:2">
      <c r="A41" s="2">
        <v>56</v>
      </c>
      <c r="B41" s="2">
        <v>54</v>
      </c>
    </row>
    <row r="42" spans="1:2">
      <c r="A42" s="2">
        <v>38</v>
      </c>
      <c r="B42" s="2">
        <v>51</v>
      </c>
    </row>
    <row r="43" spans="1:2">
      <c r="A43" s="2">
        <v>32</v>
      </c>
      <c r="B43" s="2">
        <v>39</v>
      </c>
    </row>
  </sheetData>
  <mergeCells count="3">
    <mergeCell ref="A1:H1"/>
    <mergeCell ref="D3:H3"/>
    <mergeCell ref="D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AB_Test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Pes</dc:creator>
  <cp:lastModifiedBy>LORENZO PES</cp:lastModifiedBy>
  <dcterms:created xsi:type="dcterms:W3CDTF">2026-07-12T15:56:03Z</dcterms:created>
  <dcterms:modified xsi:type="dcterms:W3CDTF">2026-07-12T15:56:03Z</dcterms:modified>
</cp:coreProperties>
</file>