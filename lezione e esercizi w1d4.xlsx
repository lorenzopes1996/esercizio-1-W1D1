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ren\Downloads\"/>
    </mc:Choice>
  </mc:AlternateContent>
  <xr:revisionPtr revIDLastSave="0" documentId="8_{6FDAEA95-6256-45B9-831C-7E4D27E92AD1}" xr6:coauthVersionLast="47" xr6:coauthVersionMax="47" xr10:uidLastSave="{00000000-0000-0000-0000-000000000000}"/>
  <bookViews>
    <workbookView xWindow="-75" yWindow="0" windowWidth="17280" windowHeight="20985" xr2:uid="{39BBAFF6-076A-2245-A83A-B4C0C143B4B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52" i="1" l="1"/>
  <c r="M153" i="1" s="1"/>
  <c r="Q129" i="1"/>
  <c r="Q134" i="1" s="1"/>
  <c r="M120" i="1"/>
  <c r="M113" i="1"/>
  <c r="M110" i="1"/>
  <c r="N110" i="1" s="1"/>
  <c r="S97" i="1"/>
  <c r="K97" i="1"/>
  <c r="K96" i="1"/>
  <c r="M96" i="1" s="1"/>
  <c r="K84" i="1"/>
  <c r="M71" i="1"/>
  <c r="N68" i="1"/>
  <c r="N64" i="1"/>
  <c r="O41" i="1"/>
  <c r="P14" i="1"/>
</calcChain>
</file>

<file path=xl/sharedStrings.xml><?xml version="1.0" encoding="utf-8"?>
<sst xmlns="http://schemas.openxmlformats.org/spreadsheetml/2006/main" count="96" uniqueCount="87">
  <si>
    <t>dado</t>
  </si>
  <si>
    <t>esiti possibilii</t>
  </si>
  <si>
    <t>qual è la probabilità che esca un numero maggiore di 4?</t>
  </si>
  <si>
    <t>casi favorevoli</t>
  </si>
  <si>
    <t>casi possibili</t>
  </si>
  <si>
    <t>qual è la probabilità che esca il numero 8?</t>
  </si>
  <si>
    <t>Qual è la probabilità che esca un numero compreso tra 1 e 5 ?</t>
  </si>
  <si>
    <t>impossibile</t>
  </si>
  <si>
    <t>qaul'è la probabilità che esca un numero compreso tra 1 e 6?</t>
  </si>
  <si>
    <t>certo</t>
  </si>
  <si>
    <t>Qual è la probabilità di fare 6?</t>
  </si>
  <si>
    <t>P(A)</t>
  </si>
  <si>
    <t>Eventi incompatibili</t>
  </si>
  <si>
    <t>eventi che non posso accadere insieme</t>
  </si>
  <si>
    <t>Dado</t>
  </si>
  <si>
    <t>2 e 5 è incompatibile</t>
  </si>
  <si>
    <t>P(B)</t>
  </si>
  <si>
    <t>P(A o B) = P(A) + P(B)</t>
  </si>
  <si>
    <t>probabilità che esca 2 o 5?</t>
  </si>
  <si>
    <t>P(A o B)</t>
  </si>
  <si>
    <t>Eventi indipendenti</t>
  </si>
  <si>
    <t>eventi in cui il risultato del primo non influenza il risultato del secondo</t>
  </si>
  <si>
    <t>due Dadi</t>
  </si>
  <si>
    <t>probabilità di fare 6 sul primo dado e 6 sul secondo</t>
  </si>
  <si>
    <t>P(A e B) = P(A) x P(B)</t>
  </si>
  <si>
    <t>P(A e B)</t>
  </si>
  <si>
    <t>Z-Score</t>
  </si>
  <si>
    <t xml:space="preserve">Altezza </t>
  </si>
  <si>
    <t xml:space="preserve">Media </t>
  </si>
  <si>
    <t>Dev. Stand</t>
  </si>
  <si>
    <t>z-score</t>
  </si>
  <si>
    <t>circa il 92% delle persone è più basso di 185cm</t>
  </si>
  <si>
    <t>Dadi</t>
  </si>
  <si>
    <t>Calcolare la probabilità di non fare 6 su entrambi i dadi</t>
  </si>
  <si>
    <t>A = nessun 6 su due lanci</t>
  </si>
  <si>
    <t>P(A) = 5/6 x 5/6</t>
  </si>
  <si>
    <t>Z Score</t>
  </si>
  <si>
    <t>punteggi di un test , seguono una distribuzione normale</t>
  </si>
  <si>
    <t>media</t>
  </si>
  <si>
    <t>dev. Standard</t>
  </si>
  <si>
    <t>Studenti</t>
  </si>
  <si>
    <t>Mario</t>
  </si>
  <si>
    <t>Maria</t>
  </si>
  <si>
    <t>Punteggio ottenuto</t>
  </si>
  <si>
    <t>come è si collocano rispetto la distribuzione?</t>
  </si>
  <si>
    <t>z = (valore - media) / deviazione</t>
  </si>
  <si>
    <t>z score</t>
  </si>
  <si>
    <t>circa l 84% degli studenti ha un punteggio inferiore a 58</t>
  </si>
  <si>
    <t>P(X &lt; 58)</t>
  </si>
  <si>
    <t>P(X&gt; 58)</t>
  </si>
  <si>
    <t>il 16% degli studenti fa meglio di 58</t>
  </si>
  <si>
    <t>84% degli studenti è sotto il 58</t>
  </si>
  <si>
    <t>Mazzo di carte</t>
  </si>
  <si>
    <t>carte</t>
  </si>
  <si>
    <t>figure</t>
  </si>
  <si>
    <t>P di pescare una carta NON figura</t>
  </si>
  <si>
    <t>P(1-A)</t>
  </si>
  <si>
    <t>non figure</t>
  </si>
  <si>
    <t>Moneta</t>
  </si>
  <si>
    <t>lancio due monete</t>
  </si>
  <si>
    <t>testa</t>
  </si>
  <si>
    <t>P ?</t>
  </si>
  <si>
    <t>Lancio un dado</t>
  </si>
  <si>
    <t>A</t>
  </si>
  <si>
    <t>esce un numero pari</t>
  </si>
  <si>
    <t>B</t>
  </si>
  <si>
    <t>esce un numero maggiore di 3</t>
  </si>
  <si>
    <t>A e B sono compatibili?</t>
  </si>
  <si>
    <t>2 4 6</t>
  </si>
  <si>
    <t>4 5 6</t>
  </si>
  <si>
    <t>4 6</t>
  </si>
  <si>
    <t>si</t>
  </si>
  <si>
    <t>P(A∩B)</t>
  </si>
  <si>
    <t>P( A U B) = P(A) + P(B) - P(A∩B)</t>
  </si>
  <si>
    <t>P che esca un numero pari oppure maggiore di 3</t>
  </si>
  <si>
    <t>Azienda</t>
  </si>
  <si>
    <t>dipendenti</t>
  </si>
  <si>
    <t>uomini</t>
  </si>
  <si>
    <t>smart working</t>
  </si>
  <si>
    <t>uomini e lavorano in smart Working</t>
  </si>
  <si>
    <t>qual è la probabilità che un diip scelto a caso sia uomo oppure lavori in smart?</t>
  </si>
  <si>
    <t>tolgo l intersezione</t>
  </si>
  <si>
    <t>5/6 =</t>
  </si>
  <si>
    <t>la probabilità è di 5 su 6</t>
  </si>
  <si>
    <t>6/6.</t>
  </si>
  <si>
    <t>La probabilità e di 6/6 (100%)</t>
  </si>
  <si>
    <t>La probabilità di fare  6è di 1/6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</si>
</sst>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12" fontId="0" fillId="0" borderId="0" xfId="0" applyNumberFormat="1"/>
    <xf numFmtId="0" fontId="0" fillId="0" borderId="0" xfId="0" applyAlignment="1">
      <alignment horizontal="center"/>
    </xf>
    <xf numFmtId="12" fontId="0" fillId="0" borderId="0" xfId="0" applyNumberFormat="1" applyAlignment="1">
      <alignment horizontal="right"/>
    </xf>
    <xf numFmtId="13" fontId="0" fillId="0" borderId="0" xfId="0" applyNumberFormat="1"/>
    <xf numFmtId="0" fontId="2" fillId="0" borderId="0" xfId="0" applyFont="1"/>
    <xf numFmtId="9" fontId="0" fillId="0" borderId="0" xfId="1" applyFont="1"/>
    <xf numFmtId="0" fontId="0" fillId="0" borderId="0" xfId="0" applyAlignment="1">
      <alignment horizontal="right"/>
    </xf>
    <xf numFmtId="9" fontId="2" fillId="0" borderId="0" xfId="0" applyNumberFormat="1" applyFont="1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12" fontId="0" fillId="0" borderId="3" xfId="0" applyNumberFormat="1" applyBorder="1" applyAlignment="1">
      <alignment horizontal="center"/>
    </xf>
    <xf numFmtId="0" fontId="0" fillId="0" borderId="4" xfId="0" applyBorder="1"/>
    <xf numFmtId="0" fontId="0" fillId="0" borderId="5" xfId="0" applyBorder="1"/>
    <xf numFmtId="12" fontId="0" fillId="0" borderId="6" xfId="0" applyNumberFormat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12" fontId="0" fillId="3" borderId="6" xfId="0" applyNumberFormat="1" applyFill="1" applyBorder="1"/>
    <xf numFmtId="12" fontId="0" fillId="0" borderId="3" xfId="0" applyNumberFormat="1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7" xfId="0" applyBorder="1"/>
    <xf numFmtId="0" fontId="0" fillId="0" borderId="8" xfId="0" applyBorder="1"/>
    <xf numFmtId="0" fontId="0" fillId="3" borderId="8" xfId="0" applyFill="1" applyBorder="1"/>
    <xf numFmtId="0" fontId="0" fillId="3" borderId="9" xfId="0" applyFill="1" applyBorder="1"/>
    <xf numFmtId="0" fontId="0" fillId="0" borderId="10" xfId="0" applyBorder="1"/>
    <xf numFmtId="0" fontId="0" fillId="0" borderId="0" xfId="0" applyBorder="1"/>
    <xf numFmtId="12" fontId="0" fillId="0" borderId="11" xfId="0" applyNumberFormat="1" applyBorder="1"/>
    <xf numFmtId="0" fontId="0" fillId="0" borderId="2" xfId="0" applyNumberFormat="1" applyBorder="1"/>
    <xf numFmtId="0" fontId="0" fillId="3" borderId="2" xfId="0" applyFill="1" applyBorder="1"/>
    <xf numFmtId="12" fontId="0" fillId="3" borderId="9" xfId="0" applyNumberFormat="1" applyFill="1" applyBorder="1"/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00C74-2619-C642-8092-7247BF8692E6}">
  <dimension ref="E5:U153"/>
  <sheetViews>
    <sheetView tabSelected="1" topLeftCell="E51" workbookViewId="0">
      <selection activeCell="N41" sqref="N41"/>
    </sheetView>
  </sheetViews>
  <sheetFormatPr defaultColWidth="11" defaultRowHeight="15.75" x14ac:dyDescent="0.25"/>
  <cols>
    <col min="5" max="5" width="12.125" bestFit="1" customWidth="1"/>
    <col min="6" max="6" width="3" customWidth="1"/>
    <col min="8" max="8" width="17" customWidth="1"/>
    <col min="14" max="14" width="13.125" customWidth="1"/>
    <col min="15" max="16" width="11.875" customWidth="1"/>
  </cols>
  <sheetData>
    <row r="5" spans="5:16" x14ac:dyDescent="0.25">
      <c r="E5" t="s">
        <v>0</v>
      </c>
    </row>
    <row r="7" spans="5:16" x14ac:dyDescent="0.25">
      <c r="E7" t="s">
        <v>1</v>
      </c>
    </row>
    <row r="8" spans="5:16" x14ac:dyDescent="0.25">
      <c r="G8">
        <v>1</v>
      </c>
      <c r="H8">
        <v>2</v>
      </c>
      <c r="I8">
        <v>3</v>
      </c>
      <c r="J8">
        <v>4</v>
      </c>
      <c r="K8">
        <v>5</v>
      </c>
      <c r="L8">
        <v>6</v>
      </c>
    </row>
    <row r="11" spans="5:16" ht="16.5" thickBot="1" x14ac:dyDescent="0.3"/>
    <row r="12" spans="5:16" ht="16.5" thickBot="1" x14ac:dyDescent="0.3">
      <c r="G12" s="17" t="s">
        <v>2</v>
      </c>
      <c r="H12" s="18"/>
      <c r="I12" s="18"/>
      <c r="J12" s="19"/>
    </row>
    <row r="13" spans="5:16" x14ac:dyDescent="0.25">
      <c r="G13" s="10"/>
      <c r="H13" s="11"/>
      <c r="I13" s="11"/>
      <c r="J13" s="11"/>
      <c r="K13" s="11"/>
      <c r="L13" s="11"/>
      <c r="M13" s="11"/>
      <c r="N13" s="12" t="s">
        <v>3</v>
      </c>
      <c r="O13" s="12" t="s">
        <v>4</v>
      </c>
      <c r="P13" s="13"/>
    </row>
    <row r="14" spans="5:16" ht="16.5" thickBot="1" x14ac:dyDescent="0.3">
      <c r="G14" s="14"/>
      <c r="H14" s="15"/>
      <c r="I14" s="15"/>
      <c r="J14" s="15"/>
      <c r="K14" s="15">
        <v>5</v>
      </c>
      <c r="L14" s="15">
        <v>6</v>
      </c>
      <c r="M14" s="15"/>
      <c r="N14" s="15">
        <v>2</v>
      </c>
      <c r="O14" s="15">
        <v>6</v>
      </c>
      <c r="P14" s="20">
        <f>N14/O14</f>
        <v>0.33333333333333331</v>
      </c>
    </row>
    <row r="15" spans="5:16" x14ac:dyDescent="0.25">
      <c r="P15" s="1"/>
    </row>
    <row r="16" spans="5:16" x14ac:dyDescent="0.25">
      <c r="P16" s="1"/>
    </row>
    <row r="17" spans="7:19" ht="16.5" thickBot="1" x14ac:dyDescent="0.3">
      <c r="G17" s="9" t="s">
        <v>5</v>
      </c>
      <c r="H17" s="9"/>
      <c r="I17" s="9"/>
      <c r="P17" s="1"/>
    </row>
    <row r="18" spans="7:19" x14ac:dyDescent="0.25">
      <c r="G18" s="10"/>
      <c r="H18" s="11"/>
      <c r="I18" s="11"/>
      <c r="J18" s="11"/>
      <c r="K18" s="11"/>
      <c r="L18" s="11"/>
      <c r="M18" s="11"/>
      <c r="N18" s="11"/>
      <c r="O18" s="11"/>
      <c r="P18" s="21"/>
    </row>
    <row r="19" spans="7:19" ht="16.5" thickBot="1" x14ac:dyDescent="0.3">
      <c r="G19" s="14"/>
      <c r="H19" s="15"/>
      <c r="I19" s="15"/>
      <c r="J19" s="15"/>
      <c r="K19" s="15"/>
      <c r="L19" s="15"/>
      <c r="M19" s="15"/>
      <c r="N19" s="15"/>
      <c r="O19" s="15"/>
      <c r="P19" s="20">
        <v>0</v>
      </c>
      <c r="R19" t="s">
        <v>7</v>
      </c>
    </row>
    <row r="20" spans="7:19" ht="16.5" thickBot="1" x14ac:dyDescent="0.3">
      <c r="P20" s="1"/>
    </row>
    <row r="21" spans="7:19" ht="16.5" thickBot="1" x14ac:dyDescent="0.3">
      <c r="G21" s="22" t="s">
        <v>6</v>
      </c>
      <c r="H21" s="23"/>
      <c r="I21" s="23"/>
      <c r="J21" s="24"/>
      <c r="P21" s="1"/>
    </row>
    <row r="22" spans="7:19" ht="16.5" thickBot="1" x14ac:dyDescent="0.3">
      <c r="G22" s="25"/>
      <c r="H22" s="26"/>
      <c r="I22" s="26"/>
      <c r="J22" s="26"/>
      <c r="K22" s="26" t="s">
        <v>82</v>
      </c>
      <c r="L22" s="27" t="s">
        <v>83</v>
      </c>
      <c r="M22" s="28"/>
      <c r="P22" s="1"/>
    </row>
    <row r="23" spans="7:19" ht="16.5" thickBot="1" x14ac:dyDescent="0.3">
      <c r="P23" s="1"/>
    </row>
    <row r="24" spans="7:19" ht="16.5" thickBot="1" x14ac:dyDescent="0.3">
      <c r="G24" s="22" t="s">
        <v>8</v>
      </c>
      <c r="H24" s="23"/>
      <c r="I24" s="23"/>
      <c r="J24" s="24"/>
      <c r="P24" s="1"/>
      <c r="R24" s="2" t="s">
        <v>9</v>
      </c>
    </row>
    <row r="25" spans="7:19" x14ac:dyDescent="0.25">
      <c r="G25" s="10"/>
      <c r="H25" s="11"/>
      <c r="I25" s="11"/>
      <c r="J25" s="11"/>
      <c r="K25" s="32" t="s">
        <v>84</v>
      </c>
      <c r="L25" s="33" t="s">
        <v>85</v>
      </c>
      <c r="M25" s="33"/>
      <c r="N25" s="11"/>
      <c r="O25" s="11"/>
      <c r="P25" s="21"/>
    </row>
    <row r="26" spans="7:19" x14ac:dyDescent="0.25">
      <c r="G26" s="29"/>
      <c r="H26" s="30"/>
      <c r="I26" s="30"/>
      <c r="J26" s="30"/>
      <c r="K26" s="30"/>
      <c r="L26" s="30"/>
      <c r="M26" s="30"/>
      <c r="N26" s="30"/>
      <c r="O26" s="30"/>
      <c r="P26" s="31"/>
    </row>
    <row r="27" spans="7:19" ht="16.5" thickBot="1" x14ac:dyDescent="0.3">
      <c r="G27" s="14"/>
      <c r="H27" s="15"/>
      <c r="I27" s="15"/>
      <c r="J27" s="15"/>
      <c r="K27" s="15"/>
      <c r="L27" s="15"/>
      <c r="M27" s="15"/>
      <c r="N27" s="15"/>
      <c r="O27" s="15"/>
      <c r="P27" s="16"/>
    </row>
    <row r="28" spans="7:19" ht="16.5" thickBot="1" x14ac:dyDescent="0.3">
      <c r="G28" s="22" t="s">
        <v>10</v>
      </c>
      <c r="H28" s="24"/>
      <c r="K28" s="1"/>
      <c r="L28" s="1"/>
      <c r="M28" s="1"/>
      <c r="N28" s="1"/>
      <c r="O28" s="1"/>
      <c r="P28" s="1"/>
      <c r="Q28" s="1"/>
      <c r="R28" s="1"/>
      <c r="S28" s="1"/>
    </row>
    <row r="29" spans="7:19" ht="16.5" thickBot="1" x14ac:dyDescent="0.3">
      <c r="G29" s="25"/>
      <c r="H29" s="26"/>
      <c r="I29" s="27" t="s">
        <v>86</v>
      </c>
      <c r="J29" s="27"/>
      <c r="K29" s="34"/>
      <c r="L29" s="1"/>
      <c r="M29" s="1"/>
      <c r="N29" s="1"/>
      <c r="O29" s="1"/>
      <c r="P29" s="1"/>
      <c r="Q29" s="1"/>
      <c r="R29" s="1"/>
      <c r="S29" s="1"/>
    </row>
    <row r="30" spans="7:19" x14ac:dyDescent="0.25">
      <c r="K30" s="1"/>
      <c r="L30" s="1"/>
      <c r="M30" s="1"/>
      <c r="N30" s="1"/>
      <c r="O30" s="1"/>
      <c r="P30" s="1"/>
      <c r="Q30" s="1"/>
      <c r="R30" s="1"/>
      <c r="S30" s="1"/>
    </row>
    <row r="31" spans="7:19" x14ac:dyDescent="0.25">
      <c r="K31" s="1"/>
      <c r="L31" s="1"/>
      <c r="M31" s="1"/>
      <c r="N31" s="1"/>
      <c r="O31" s="1"/>
      <c r="P31" s="1"/>
      <c r="Q31" s="1"/>
      <c r="R31" s="1"/>
      <c r="S31" s="1"/>
    </row>
    <row r="32" spans="7:19" x14ac:dyDescent="0.25">
      <c r="G32" t="s">
        <v>12</v>
      </c>
      <c r="K32" s="1"/>
      <c r="L32" s="1"/>
      <c r="M32" s="1"/>
      <c r="N32" s="1"/>
      <c r="O32" s="1"/>
      <c r="P32" s="1"/>
      <c r="Q32" s="1"/>
      <c r="R32" s="1"/>
      <c r="S32" s="1"/>
    </row>
    <row r="33" spans="7:19" x14ac:dyDescent="0.25">
      <c r="I33" t="s">
        <v>13</v>
      </c>
      <c r="K33" s="1"/>
      <c r="L33" s="1"/>
      <c r="M33" s="1"/>
      <c r="N33" s="1" t="s">
        <v>14</v>
      </c>
      <c r="O33" s="1" t="s">
        <v>15</v>
      </c>
      <c r="P33" s="1"/>
      <c r="Q33" s="1"/>
      <c r="R33" s="1"/>
      <c r="S33" s="1"/>
    </row>
    <row r="34" spans="7:19" x14ac:dyDescent="0.25">
      <c r="K34" s="1"/>
      <c r="L34" s="1"/>
      <c r="M34" s="1"/>
      <c r="N34" s="1"/>
      <c r="O34" s="1"/>
      <c r="P34" s="1"/>
      <c r="Q34" s="1"/>
      <c r="R34" s="1"/>
      <c r="S34" s="1"/>
    </row>
    <row r="35" spans="7:19" x14ac:dyDescent="0.25">
      <c r="K35" s="1"/>
      <c r="L35" s="1"/>
      <c r="M35" s="1"/>
      <c r="N35" s="1" t="s">
        <v>11</v>
      </c>
      <c r="O35" s="1"/>
      <c r="P35" s="1"/>
      <c r="Q35" s="1"/>
      <c r="R35" s="1"/>
      <c r="S35" s="1"/>
    </row>
    <row r="36" spans="7:19" x14ac:dyDescent="0.25">
      <c r="K36" s="1"/>
      <c r="L36" s="1"/>
      <c r="M36" s="1"/>
      <c r="N36" s="1" t="s">
        <v>16</v>
      </c>
      <c r="O36" s="1"/>
      <c r="P36" s="1" t="s">
        <v>17</v>
      </c>
      <c r="Q36" s="1"/>
      <c r="R36" s="1"/>
      <c r="S36" s="1"/>
    </row>
    <row r="37" spans="7:19" x14ac:dyDescent="0.25">
      <c r="K37" s="1"/>
      <c r="L37" s="1"/>
      <c r="M37" s="1"/>
      <c r="N37" s="1"/>
      <c r="O37" s="1"/>
      <c r="P37" s="1"/>
      <c r="Q37" s="1"/>
      <c r="R37" s="1"/>
      <c r="S37" s="1"/>
    </row>
    <row r="38" spans="7:19" x14ac:dyDescent="0.25">
      <c r="K38" s="1"/>
      <c r="L38" s="1" t="s">
        <v>18</v>
      </c>
      <c r="M38" s="1"/>
      <c r="N38" s="1"/>
      <c r="O38" s="1"/>
      <c r="P38" s="1"/>
      <c r="Q38" s="1"/>
      <c r="R38" s="1"/>
      <c r="S38" s="1"/>
    </row>
    <row r="39" spans="7:19" x14ac:dyDescent="0.25">
      <c r="K39" s="1"/>
      <c r="L39" s="1"/>
      <c r="M39" s="1"/>
      <c r="N39" s="3" t="s">
        <v>11</v>
      </c>
      <c r="O39" s="1">
        <v>0.16666666666666666</v>
      </c>
      <c r="P39" s="1"/>
      <c r="Q39" s="1"/>
      <c r="R39" s="1"/>
      <c r="S39" s="1"/>
    </row>
    <row r="40" spans="7:19" x14ac:dyDescent="0.25">
      <c r="K40" s="1"/>
      <c r="L40" s="1"/>
      <c r="M40" s="1"/>
      <c r="N40" s="3" t="s">
        <v>16</v>
      </c>
      <c r="O40" s="1">
        <v>0.16666666666666666</v>
      </c>
      <c r="P40" s="1"/>
      <c r="Q40" s="1"/>
      <c r="R40" s="1"/>
      <c r="S40" s="1"/>
    </row>
    <row r="41" spans="7:19" x14ac:dyDescent="0.25">
      <c r="N41" s="1" t="s">
        <v>19</v>
      </c>
      <c r="O41" s="1">
        <f>O39+O40</f>
        <v>0.33333333333333331</v>
      </c>
    </row>
    <row r="42" spans="7:19" x14ac:dyDescent="0.25">
      <c r="G42" t="s">
        <v>20</v>
      </c>
    </row>
    <row r="43" spans="7:19" x14ac:dyDescent="0.25">
      <c r="I43" t="s">
        <v>21</v>
      </c>
    </row>
    <row r="45" spans="7:19" x14ac:dyDescent="0.25">
      <c r="N45" t="s">
        <v>22</v>
      </c>
      <c r="O45" t="s">
        <v>23</v>
      </c>
    </row>
    <row r="47" spans="7:19" x14ac:dyDescent="0.25">
      <c r="O47" t="s">
        <v>24</v>
      </c>
    </row>
    <row r="49" spans="8:15" x14ac:dyDescent="0.25">
      <c r="N49" t="s">
        <v>11</v>
      </c>
      <c r="O49" s="1">
        <v>0.16666666666666666</v>
      </c>
    </row>
    <row r="50" spans="8:15" x14ac:dyDescent="0.25">
      <c r="N50" t="s">
        <v>16</v>
      </c>
      <c r="O50" s="1">
        <v>0.16666666666666666</v>
      </c>
    </row>
    <row r="51" spans="8:15" x14ac:dyDescent="0.25">
      <c r="N51" t="s">
        <v>25</v>
      </c>
      <c r="O51" s="4">
        <v>2.7777777777777801E-2</v>
      </c>
    </row>
    <row r="52" spans="8:15" x14ac:dyDescent="0.25">
      <c r="O52" s="1"/>
    </row>
    <row r="53" spans="8:15" x14ac:dyDescent="0.25">
      <c r="O53" s="1"/>
    </row>
    <row r="54" spans="8:15" x14ac:dyDescent="0.25">
      <c r="O54" s="1"/>
    </row>
    <row r="55" spans="8:15" x14ac:dyDescent="0.25">
      <c r="O55" s="1"/>
    </row>
    <row r="57" spans="8:15" x14ac:dyDescent="0.25">
      <c r="H57" t="s">
        <v>26</v>
      </c>
    </row>
    <row r="60" spans="8:15" x14ac:dyDescent="0.25">
      <c r="J60" t="s">
        <v>27</v>
      </c>
      <c r="K60">
        <v>185</v>
      </c>
      <c r="L60">
        <v>155</v>
      </c>
    </row>
    <row r="61" spans="8:15" x14ac:dyDescent="0.25">
      <c r="J61" t="s">
        <v>28</v>
      </c>
      <c r="K61">
        <v>175</v>
      </c>
    </row>
    <row r="62" spans="8:15" x14ac:dyDescent="0.25">
      <c r="J62" t="s">
        <v>29</v>
      </c>
      <c r="K62">
        <v>7</v>
      </c>
    </row>
    <row r="64" spans="8:15" x14ac:dyDescent="0.25">
      <c r="M64" t="s">
        <v>30</v>
      </c>
      <c r="N64">
        <f>(K60-K61)/K62</f>
        <v>1.4285714285714286</v>
      </c>
    </row>
    <row r="65" spans="7:15" x14ac:dyDescent="0.25">
      <c r="M65" s="5" t="s">
        <v>30</v>
      </c>
      <c r="N65" s="5">
        <v>1.43</v>
      </c>
    </row>
    <row r="68" spans="7:15" x14ac:dyDescent="0.25">
      <c r="N68">
        <f>(L60-K61)/K62</f>
        <v>-2.8571428571428572</v>
      </c>
    </row>
    <row r="71" spans="7:15" x14ac:dyDescent="0.25">
      <c r="M71" s="6">
        <f>_xlfn.NORM.S.DIST(1.43,TRUE)</f>
        <v>0.92364149046326083</v>
      </c>
      <c r="O71" t="s">
        <v>31</v>
      </c>
    </row>
    <row r="79" spans="7:15" x14ac:dyDescent="0.25">
      <c r="G79" t="s">
        <v>32</v>
      </c>
    </row>
    <row r="80" spans="7:15" x14ac:dyDescent="0.25">
      <c r="H80" t="s">
        <v>33</v>
      </c>
    </row>
    <row r="82" spans="7:21" x14ac:dyDescent="0.25">
      <c r="I82" t="s">
        <v>34</v>
      </c>
    </row>
    <row r="84" spans="7:21" x14ac:dyDescent="0.25">
      <c r="I84" t="s">
        <v>35</v>
      </c>
      <c r="K84" s="1">
        <f>25/36</f>
        <v>0.69444444444444442</v>
      </c>
    </row>
    <row r="87" spans="7:21" x14ac:dyDescent="0.25">
      <c r="G87" t="s">
        <v>36</v>
      </c>
    </row>
    <row r="88" spans="7:21" x14ac:dyDescent="0.25">
      <c r="H88" t="s">
        <v>37</v>
      </c>
    </row>
    <row r="90" spans="7:21" x14ac:dyDescent="0.25">
      <c r="H90" t="s">
        <v>38</v>
      </c>
      <c r="I90">
        <v>50</v>
      </c>
    </row>
    <row r="91" spans="7:21" x14ac:dyDescent="0.25">
      <c r="H91" t="s">
        <v>39</v>
      </c>
      <c r="I91">
        <v>8</v>
      </c>
      <c r="M91" t="s">
        <v>45</v>
      </c>
    </row>
    <row r="95" spans="7:21" x14ac:dyDescent="0.25">
      <c r="H95" t="s">
        <v>40</v>
      </c>
      <c r="I95" t="s">
        <v>43</v>
      </c>
      <c r="K95" t="s">
        <v>46</v>
      </c>
    </row>
    <row r="96" spans="7:21" x14ac:dyDescent="0.25">
      <c r="H96" s="7" t="s">
        <v>41</v>
      </c>
      <c r="I96">
        <v>58</v>
      </c>
      <c r="K96">
        <f>(I96-I90)/I91</f>
        <v>1</v>
      </c>
      <c r="M96" s="6">
        <f>_xlfn.NORM.S.DIST(K96,TRUE)</f>
        <v>0.84134474606854304</v>
      </c>
      <c r="N96" t="s">
        <v>47</v>
      </c>
      <c r="R96" s="5" t="s">
        <v>48</v>
      </c>
      <c r="S96" s="8">
        <v>0.84</v>
      </c>
      <c r="U96" t="s">
        <v>51</v>
      </c>
    </row>
    <row r="97" spans="8:21" x14ac:dyDescent="0.25">
      <c r="H97" s="7" t="s">
        <v>42</v>
      </c>
      <c r="I97">
        <v>65</v>
      </c>
      <c r="K97">
        <f>(I97-I90)/I91</f>
        <v>1.875</v>
      </c>
      <c r="R97" s="5" t="s">
        <v>49</v>
      </c>
      <c r="S97" s="8">
        <f>1-S96</f>
        <v>0.16000000000000003</v>
      </c>
      <c r="U97" t="s">
        <v>50</v>
      </c>
    </row>
    <row r="99" spans="8:21" x14ac:dyDescent="0.25">
      <c r="J99" t="s">
        <v>44</v>
      </c>
    </row>
    <row r="106" spans="8:21" x14ac:dyDescent="0.25">
      <c r="H106" t="s">
        <v>52</v>
      </c>
    </row>
    <row r="107" spans="8:21" x14ac:dyDescent="0.25">
      <c r="I107">
        <v>40</v>
      </c>
      <c r="J107" t="s">
        <v>53</v>
      </c>
      <c r="N107" t="s">
        <v>55</v>
      </c>
    </row>
    <row r="108" spans="8:21" x14ac:dyDescent="0.25">
      <c r="I108">
        <v>12</v>
      </c>
      <c r="J108" t="s">
        <v>54</v>
      </c>
    </row>
    <row r="109" spans="8:21" x14ac:dyDescent="0.25">
      <c r="M109" t="s">
        <v>11</v>
      </c>
      <c r="N109" t="s">
        <v>56</v>
      </c>
    </row>
    <row r="110" spans="8:21" x14ac:dyDescent="0.25">
      <c r="M110">
        <f>12/40</f>
        <v>0.3</v>
      </c>
      <c r="N110">
        <f>1-M110</f>
        <v>0.7</v>
      </c>
    </row>
    <row r="112" spans="8:21" x14ac:dyDescent="0.25">
      <c r="M112">
        <v>28</v>
      </c>
      <c r="N112" t="s">
        <v>57</v>
      </c>
    </row>
    <row r="113" spans="8:20" x14ac:dyDescent="0.25">
      <c r="M113">
        <f>28/40</f>
        <v>0.7</v>
      </c>
    </row>
    <row r="115" spans="8:20" x14ac:dyDescent="0.25">
      <c r="H115" t="s">
        <v>58</v>
      </c>
    </row>
    <row r="116" spans="8:20" x14ac:dyDescent="0.25">
      <c r="I116" t="s">
        <v>59</v>
      </c>
    </row>
    <row r="118" spans="8:20" x14ac:dyDescent="0.25">
      <c r="J118" t="s">
        <v>60</v>
      </c>
      <c r="K118" t="s">
        <v>60</v>
      </c>
      <c r="M118" t="s">
        <v>61</v>
      </c>
    </row>
    <row r="120" spans="8:20" x14ac:dyDescent="0.25">
      <c r="J120" s="1">
        <v>0.5</v>
      </c>
      <c r="K120" s="1">
        <v>0.5</v>
      </c>
      <c r="L120" s="1"/>
      <c r="M120" s="1">
        <f>J120*K120</f>
        <v>0.25</v>
      </c>
    </row>
    <row r="123" spans="8:20" x14ac:dyDescent="0.25">
      <c r="Q123" s="1"/>
      <c r="R123" s="1"/>
      <c r="S123" s="1"/>
      <c r="T123" s="1"/>
    </row>
    <row r="124" spans="8:20" x14ac:dyDescent="0.25">
      <c r="Q124" s="1"/>
      <c r="R124" s="1"/>
      <c r="S124" s="1"/>
      <c r="T124" s="1"/>
    </row>
    <row r="125" spans="8:20" x14ac:dyDescent="0.25">
      <c r="Q125" s="1"/>
      <c r="R125" s="1"/>
      <c r="S125" s="1"/>
      <c r="T125" s="1"/>
    </row>
    <row r="126" spans="8:20" x14ac:dyDescent="0.25">
      <c r="H126" s="5" t="s">
        <v>62</v>
      </c>
      <c r="Q126" s="1"/>
      <c r="R126" s="1"/>
      <c r="S126" s="1"/>
      <c r="T126" s="1"/>
    </row>
    <row r="127" spans="8:20" x14ac:dyDescent="0.25">
      <c r="J127" t="s">
        <v>63</v>
      </c>
      <c r="K127" t="s">
        <v>64</v>
      </c>
      <c r="N127" t="s">
        <v>68</v>
      </c>
      <c r="P127" t="s">
        <v>11</v>
      </c>
      <c r="Q127" s="1">
        <v>0.5</v>
      </c>
      <c r="R127" s="1"/>
      <c r="S127" s="1"/>
      <c r="T127" s="1"/>
    </row>
    <row r="128" spans="8:20" x14ac:dyDescent="0.25">
      <c r="J128" t="s">
        <v>65</v>
      </c>
      <c r="K128" t="s">
        <v>66</v>
      </c>
      <c r="N128" t="s">
        <v>69</v>
      </c>
      <c r="P128" t="s">
        <v>16</v>
      </c>
      <c r="Q128" s="1">
        <v>0.5</v>
      </c>
      <c r="R128" s="1"/>
      <c r="S128" s="1"/>
      <c r="T128" s="1"/>
    </row>
    <row r="129" spans="8:20" x14ac:dyDescent="0.25">
      <c r="N129" t="s">
        <v>70</v>
      </c>
      <c r="P129" t="s">
        <v>72</v>
      </c>
      <c r="Q129" s="1">
        <f>2/6</f>
        <v>0.33333333333333331</v>
      </c>
      <c r="R129" s="1"/>
      <c r="S129" s="1"/>
      <c r="T129" s="1"/>
    </row>
    <row r="130" spans="8:20" x14ac:dyDescent="0.25">
      <c r="Q130" s="1"/>
      <c r="R130" s="1"/>
      <c r="S130" s="1"/>
      <c r="T130" s="1"/>
    </row>
    <row r="131" spans="8:20" x14ac:dyDescent="0.25">
      <c r="J131" t="s">
        <v>67</v>
      </c>
      <c r="M131" t="s">
        <v>71</v>
      </c>
      <c r="Q131" s="1"/>
      <c r="R131" s="1"/>
      <c r="S131" s="1"/>
      <c r="T131" s="1"/>
    </row>
    <row r="132" spans="8:20" x14ac:dyDescent="0.25">
      <c r="Q132" s="1"/>
      <c r="R132" s="1"/>
      <c r="S132" s="1"/>
      <c r="T132" s="1"/>
    </row>
    <row r="133" spans="8:20" x14ac:dyDescent="0.25">
      <c r="Q133" s="1"/>
      <c r="R133" s="1"/>
      <c r="S133" s="1"/>
      <c r="T133" s="1"/>
    </row>
    <row r="134" spans="8:20" x14ac:dyDescent="0.25">
      <c r="N134" t="s">
        <v>73</v>
      </c>
      <c r="Q134" s="1">
        <f>Q127+Q128-Q129</f>
        <v>0.66666666666666674</v>
      </c>
      <c r="R134" s="1"/>
      <c r="S134" s="1"/>
      <c r="T134" s="1"/>
    </row>
    <row r="135" spans="8:20" x14ac:dyDescent="0.25">
      <c r="Q135" s="1"/>
      <c r="R135" s="1"/>
      <c r="S135" s="1"/>
      <c r="T135" s="1"/>
    </row>
    <row r="136" spans="8:20" x14ac:dyDescent="0.25">
      <c r="N136" t="s">
        <v>74</v>
      </c>
      <c r="Q136" s="1"/>
      <c r="R136" s="1"/>
      <c r="S136" s="1"/>
      <c r="T136" s="1"/>
    </row>
    <row r="137" spans="8:20" x14ac:dyDescent="0.25">
      <c r="Q137" s="1"/>
      <c r="R137" s="1"/>
      <c r="S137" s="1"/>
      <c r="T137" s="1"/>
    </row>
    <row r="138" spans="8:20" x14ac:dyDescent="0.25">
      <c r="Q138" s="1"/>
      <c r="R138" s="1"/>
      <c r="S138" s="1"/>
      <c r="T138" s="1"/>
    </row>
    <row r="139" spans="8:20" x14ac:dyDescent="0.25">
      <c r="Q139" s="1"/>
      <c r="R139" s="1"/>
      <c r="S139" s="1"/>
      <c r="T139" s="1"/>
    </row>
    <row r="140" spans="8:20" x14ac:dyDescent="0.25">
      <c r="Q140" s="1"/>
      <c r="R140" s="1"/>
      <c r="S140" s="1"/>
      <c r="T140" s="1"/>
    </row>
    <row r="141" spans="8:20" x14ac:dyDescent="0.25">
      <c r="Q141" s="1"/>
      <c r="R141" s="1"/>
      <c r="S141" s="1"/>
      <c r="T141" s="1"/>
    </row>
    <row r="142" spans="8:20" x14ac:dyDescent="0.25">
      <c r="Q142" s="1"/>
      <c r="R142" s="1"/>
      <c r="S142" s="1"/>
      <c r="T142" s="1"/>
    </row>
    <row r="143" spans="8:20" x14ac:dyDescent="0.25">
      <c r="H143" t="s">
        <v>75</v>
      </c>
      <c r="J143">
        <v>100</v>
      </c>
      <c r="K143" t="s">
        <v>76</v>
      </c>
      <c r="Q143" s="1"/>
      <c r="R143" s="1"/>
      <c r="S143" s="1"/>
      <c r="T143" s="1"/>
    </row>
    <row r="144" spans="8:20" x14ac:dyDescent="0.25">
      <c r="J144">
        <v>60</v>
      </c>
      <c r="K144" t="s">
        <v>77</v>
      </c>
      <c r="Q144" s="1"/>
      <c r="R144" s="1"/>
      <c r="S144" s="1"/>
      <c r="T144" s="1"/>
    </row>
    <row r="145" spans="10:20" x14ac:dyDescent="0.25">
      <c r="J145">
        <v>50</v>
      </c>
      <c r="K145" t="s">
        <v>78</v>
      </c>
      <c r="Q145" s="1"/>
      <c r="R145" s="1"/>
      <c r="S145" s="1"/>
      <c r="T145" s="1"/>
    </row>
    <row r="146" spans="10:20" x14ac:dyDescent="0.25">
      <c r="J146">
        <v>30</v>
      </c>
      <c r="K146" t="s">
        <v>79</v>
      </c>
      <c r="Q146" s="1"/>
      <c r="R146" s="1"/>
      <c r="S146" s="1"/>
      <c r="T146" s="1"/>
    </row>
    <row r="147" spans="10:20" x14ac:dyDescent="0.25">
      <c r="Q147" s="1"/>
      <c r="R147" s="1"/>
      <c r="S147" s="1"/>
      <c r="T147" s="1"/>
    </row>
    <row r="148" spans="10:20" x14ac:dyDescent="0.25">
      <c r="Q148" s="1"/>
      <c r="R148" s="1"/>
      <c r="S148" s="1"/>
      <c r="T148" s="1"/>
    </row>
    <row r="149" spans="10:20" x14ac:dyDescent="0.25">
      <c r="J149" t="s">
        <v>80</v>
      </c>
      <c r="Q149" s="1"/>
      <c r="R149" s="1"/>
      <c r="S149" s="1"/>
      <c r="T149" s="1"/>
    </row>
    <row r="150" spans="10:20" x14ac:dyDescent="0.25">
      <c r="Q150" s="1"/>
      <c r="R150" s="1"/>
      <c r="S150" s="1"/>
      <c r="T150" s="1"/>
    </row>
    <row r="151" spans="10:20" x14ac:dyDescent="0.25">
      <c r="Q151" s="1"/>
      <c r="R151" s="1"/>
      <c r="S151" s="1"/>
      <c r="T151" s="1"/>
    </row>
    <row r="152" spans="10:20" x14ac:dyDescent="0.25">
      <c r="K152" t="s">
        <v>81</v>
      </c>
      <c r="M152">
        <f>J144+J145-J146</f>
        <v>80</v>
      </c>
      <c r="Q152" s="1"/>
      <c r="R152" s="1"/>
      <c r="S152" s="1"/>
      <c r="T152" s="1"/>
    </row>
    <row r="153" spans="10:20" x14ac:dyDescent="0.25">
      <c r="M153">
        <f>M152/J143</f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M</dc:creator>
  <cp:lastModifiedBy>LORENZO PES</cp:lastModifiedBy>
  <dcterms:created xsi:type="dcterms:W3CDTF">2026-07-02T17:29:44Z</dcterms:created>
  <dcterms:modified xsi:type="dcterms:W3CDTF">2026-07-12T14:53:17Z</dcterms:modified>
</cp:coreProperties>
</file>